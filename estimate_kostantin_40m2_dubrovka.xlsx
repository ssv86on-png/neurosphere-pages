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 40м2 Дубровка" sheetId="1" state="visible" r:id="rId1"/>
  </sheets>
  <definedNames>
    <definedName name="_xlnm.Print_Area" localSheetId="0">'Смета 40м2 Дубровка'!$A$1:$G$119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F5496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color rgb="00666666"/>
      <sz val="9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0" fillId="4" borderId="1" pivotButton="0" quotePrefix="0" xfId="0"/>
    <xf numFmtId="3" fontId="4" fillId="4" borderId="1" applyAlignment="1" pivotButton="0" quotePrefix="0" xfId="0">
      <alignment horizontal="right"/>
    </xf>
    <xf numFmtId="0" fontId="5" fillId="2" borderId="1" pivotButton="0" quotePrefix="0" xfId="0"/>
    <xf numFmtId="0" fontId="0" fillId="2" borderId="1" pivotButton="0" quotePrefix="0" xfId="0"/>
    <xf numFmtId="3" fontId="5" fillId="2" borderId="1" applyAlignment="1" pivotButton="0" quotePrefix="0" xfId="0">
      <alignment horizontal="right"/>
    </xf>
    <xf numFmtId="0" fontId="6" fillId="5" borderId="1" pivotButton="0" quotePrefix="0" xfId="0"/>
    <xf numFmtId="0" fontId="0" fillId="5" borderId="1" pivotButton="0" quotePrefix="0" xfId="0"/>
    <xf numFmtId="3" fontId="6" fillId="5" borderId="1" applyAlignment="1" pivotButton="0" quotePrefix="0" xfId="0">
      <alignment horizontal="right"/>
    </xf>
    <xf numFmtId="0" fontId="5" fillId="6" borderId="1" pivotButton="0" quotePrefix="0" xfId="0"/>
    <xf numFmtId="0" fontId="0" fillId="6" borderId="1" pivotButton="0" quotePrefix="0" xfId="0"/>
    <xf numFmtId="3" fontId="5" fillId="6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8" customWidth="1" min="3" max="3"/>
    <col width="7" customWidth="1" min="4" max="4"/>
    <col width="9" customWidth="1" min="5" max="5"/>
    <col width="12" customWidth="1" min="6" max="6"/>
    <col width="14" customWidth="1" min="7" max="7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Наименование работ</t>
        </is>
      </c>
      <c r="D1" s="1" t="inlineStr">
        <is>
          <t>Ед.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</row>
    <row r="3">
      <c r="A3" s="2" t="inlineStr">
        <is>
          <t>1. ЧЕРНОВЫЕ СТЕНЫ</t>
        </is>
      </c>
      <c r="B3" s="3" t="n"/>
      <c r="C3" s="3" t="n"/>
      <c r="D3" s="3" t="n"/>
      <c r="E3" s="3" t="n"/>
      <c r="F3" s="3" t="n"/>
      <c r="G3" s="3" t="n"/>
    </row>
    <row r="4">
      <c r="A4" s="4" t="n">
        <v>1</v>
      </c>
      <c r="B4" s="5" t="inlineStr">
        <is>
          <t>3028</t>
        </is>
      </c>
      <c r="C4" s="5" t="inlineStr">
        <is>
          <t>Грунтовка стен (1-й слой)</t>
        </is>
      </c>
      <c r="D4" s="4" t="inlineStr">
        <is>
          <t>м²</t>
        </is>
      </c>
      <c r="E4" s="6" t="n">
        <v>105</v>
      </c>
      <c r="F4" s="6" t="n">
        <v>130</v>
      </c>
      <c r="G4" s="7">
        <f>E4*F4</f>
        <v/>
      </c>
    </row>
    <row r="5">
      <c r="A5" s="4" t="n">
        <v>2</v>
      </c>
      <c r="B5" s="5" t="inlineStr">
        <is>
          <t>3029</t>
        </is>
      </c>
      <c r="C5" s="5" t="inlineStr">
        <is>
          <t>Грунтовка стен (2-й слой)</t>
        </is>
      </c>
      <c r="D5" s="4" t="inlineStr">
        <is>
          <t>м²</t>
        </is>
      </c>
      <c r="E5" s="6" t="n">
        <v>105</v>
      </c>
      <c r="F5" s="6" t="n">
        <v>90</v>
      </c>
      <c r="G5" s="7">
        <f>E5*F5</f>
        <v/>
      </c>
    </row>
    <row r="6">
      <c r="A6" s="4" t="n">
        <v>3</v>
      </c>
      <c r="B6" s="5" t="inlineStr">
        <is>
          <t>3032</t>
        </is>
      </c>
      <c r="C6" s="5" t="inlineStr">
        <is>
          <t>Выравнивание стен гипс. смесями по маякам</t>
        </is>
      </c>
      <c r="D6" s="4" t="inlineStr">
        <is>
          <t>м²</t>
        </is>
      </c>
      <c r="E6" s="6" t="n">
        <v>95</v>
      </c>
      <c r="F6" s="6" t="n">
        <v>1550</v>
      </c>
      <c r="G6" s="7">
        <f>E6*F6</f>
        <v/>
      </c>
    </row>
    <row r="7">
      <c r="A7" s="4" t="n">
        <v>4</v>
      </c>
      <c r="B7" s="5" t="inlineStr">
        <is>
          <t>3036</t>
        </is>
      </c>
      <c r="C7" s="5" t="inlineStr">
        <is>
          <t>Штукатурка стен ЦПС (мокрые зоны)</t>
        </is>
      </c>
      <c r="D7" s="4" t="inlineStr">
        <is>
          <t>м²</t>
        </is>
      </c>
      <c r="E7" s="6" t="n">
        <v>10</v>
      </c>
      <c r="F7" s="6" t="n">
        <v>1750</v>
      </c>
      <c r="G7" s="7">
        <f>E7*F7</f>
        <v/>
      </c>
    </row>
    <row r="8">
      <c r="A8" s="4" t="n">
        <v>5</v>
      </c>
      <c r="B8" s="5" t="inlineStr">
        <is>
          <t>3037</t>
        </is>
      </c>
      <c r="C8" s="5" t="inlineStr">
        <is>
          <t>Штукатурка откосов</t>
        </is>
      </c>
      <c r="D8" s="4" t="inlineStr">
        <is>
          <t>м.п.</t>
        </is>
      </c>
      <c r="E8" s="6" t="n">
        <v>12</v>
      </c>
      <c r="F8" s="6" t="n">
        <v>1010</v>
      </c>
      <c r="G8" s="7">
        <f>E8*F8</f>
        <v/>
      </c>
    </row>
    <row r="9">
      <c r="A9" s="4" t="n">
        <v>6</v>
      </c>
      <c r="B9" s="5" t="inlineStr">
        <is>
          <t>3044</t>
        </is>
      </c>
      <c r="C9" s="5" t="inlineStr">
        <is>
          <t>Шпатлёвка откосов 2 слоя</t>
        </is>
      </c>
      <c r="D9" s="4" t="inlineStr">
        <is>
          <t>м.п.</t>
        </is>
      </c>
      <c r="E9" s="6" t="n">
        <v>12</v>
      </c>
      <c r="F9" s="6" t="n">
        <v>300</v>
      </c>
      <c r="G9" s="7">
        <f>E9*F9</f>
        <v/>
      </c>
    </row>
    <row r="10">
      <c r="A10" s="4" t="n">
        <v>7</v>
      </c>
      <c r="B10" s="5" t="inlineStr">
        <is>
          <t>3045</t>
        </is>
      </c>
      <c r="C10" s="5" t="inlineStr">
        <is>
          <t>Заделка штробы</t>
        </is>
      </c>
      <c r="D10" s="4" t="inlineStr">
        <is>
          <t>м.п.</t>
        </is>
      </c>
      <c r="E10" s="6" t="n">
        <v>50</v>
      </c>
      <c r="F10" s="6" t="n">
        <v>210</v>
      </c>
      <c r="G10" s="7">
        <f>E10*F10</f>
        <v/>
      </c>
    </row>
    <row r="11">
      <c r="A11" s="8" t="inlineStr">
        <is>
          <t>ИТОГО (3028)</t>
        </is>
      </c>
      <c r="B11" s="9" t="n"/>
      <c r="C11" s="9" t="n"/>
      <c r="D11" s="9" t="n"/>
      <c r="E11" s="9" t="n"/>
      <c r="F11" s="9" t="n"/>
      <c r="G11" s="10">
        <f>SUM(G4:G10)</f>
        <v/>
      </c>
    </row>
    <row r="12">
      <c r="A12" s="2" t="inlineStr">
        <is>
          <t>2. ПЕРЕГОРОДКИ (ГКЛ + пеноблок)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1</v>
      </c>
      <c r="B13" s="5" t="inlineStr">
        <is>
          <t>2001</t>
        </is>
      </c>
      <c r="C13" s="5" t="inlineStr">
        <is>
          <t>Перегородка из пеноблоков 100 мм</t>
        </is>
      </c>
      <c r="D13" s="4" t="inlineStr">
        <is>
          <t>м²</t>
        </is>
      </c>
      <c r="E13" s="6" t="n">
        <v>12</v>
      </c>
      <c r="F13" s="6" t="n">
        <v>1050</v>
      </c>
      <c r="G13" s="7">
        <f>E13*F13</f>
        <v/>
      </c>
    </row>
    <row r="14">
      <c r="A14" s="4" t="n">
        <v>2</v>
      </c>
      <c r="B14" s="5" t="inlineStr">
        <is>
          <t>2002</t>
        </is>
      </c>
      <c r="C14" s="5" t="inlineStr">
        <is>
          <t>Армирование перегородки</t>
        </is>
      </c>
      <c r="D14" s="4" t="inlineStr">
        <is>
          <t>м.п.</t>
        </is>
      </c>
      <c r="E14" s="6" t="n">
        <v>25</v>
      </c>
      <c r="F14" s="6" t="n">
        <v>180</v>
      </c>
      <c r="G14" s="7">
        <f>E14*F14</f>
        <v/>
      </c>
    </row>
    <row r="15">
      <c r="A15" s="4" t="n">
        <v>3</v>
      </c>
      <c r="B15" s="5" t="inlineStr">
        <is>
          <t>2010</t>
        </is>
      </c>
      <c r="C15" s="5" t="inlineStr">
        <is>
          <t>Перегородка из ГКЛ (1 слой)</t>
        </is>
      </c>
      <c r="D15" s="4" t="inlineStr">
        <is>
          <t>м²</t>
        </is>
      </c>
      <c r="E15" s="6" t="n">
        <v>10</v>
      </c>
      <c r="F15" s="6" t="n">
        <v>780</v>
      </c>
      <c r="G15" s="7">
        <f>E15*F15</f>
        <v/>
      </c>
    </row>
    <row r="16">
      <c r="A16" s="4" t="n">
        <v>4</v>
      </c>
      <c r="B16" s="5" t="inlineStr">
        <is>
          <t>2011</t>
        </is>
      </c>
      <c r="C16" s="5" t="inlineStr">
        <is>
          <t>Перегородка из ГКЛ (2 слой)</t>
        </is>
      </c>
      <c r="D16" s="4" t="inlineStr">
        <is>
          <t>м²</t>
        </is>
      </c>
      <c r="E16" s="6" t="n">
        <v>10</v>
      </c>
      <c r="F16" s="6" t="n">
        <v>520</v>
      </c>
      <c r="G16" s="7">
        <f>E16*F16</f>
        <v/>
      </c>
    </row>
    <row r="17">
      <c r="A17" s="4" t="n">
        <v>5</v>
      </c>
      <c r="B17" s="5" t="inlineStr">
        <is>
          <t>2013</t>
        </is>
      </c>
      <c r="C17" s="5" t="inlineStr">
        <is>
          <t>Звукоизоляция перегородки</t>
        </is>
      </c>
      <c r="D17" s="4" t="inlineStr">
        <is>
          <t>м²</t>
        </is>
      </c>
      <c r="E17" s="6" t="n">
        <v>8</v>
      </c>
      <c r="F17" s="6" t="n">
        <v>350</v>
      </c>
      <c r="G17" s="7">
        <f>E17*F17</f>
        <v/>
      </c>
    </row>
    <row r="18">
      <c r="A18" s="8" t="inlineStr">
        <is>
          <t>ИТОГО (2001)</t>
        </is>
      </c>
      <c r="B18" s="9" t="n"/>
      <c r="C18" s="9" t="n"/>
      <c r="D18" s="9" t="n"/>
      <c r="E18" s="9" t="n"/>
      <c r="F18" s="9" t="n"/>
      <c r="G18" s="10">
        <f>SUM(G13:G17)</f>
        <v/>
      </c>
    </row>
    <row r="19">
      <c r="A19" s="2" t="inlineStr">
        <is>
          <t>3. ЧЕРНОВЫЕ ПОЛЫ (под кварцвинил)</t>
        </is>
      </c>
      <c r="B19" s="3" t="n"/>
      <c r="C19" s="3" t="n"/>
      <c r="D19" s="3" t="n"/>
      <c r="E19" s="3" t="n"/>
      <c r="F19" s="3" t="n"/>
      <c r="G19" s="3" t="n"/>
    </row>
    <row r="20">
      <c r="A20" s="4" t="n">
        <v>1</v>
      </c>
      <c r="B20" s="5" t="inlineStr">
        <is>
          <t>4001</t>
        </is>
      </c>
      <c r="C20" s="5" t="inlineStr">
        <is>
          <t>Грунтовка под стяжку</t>
        </is>
      </c>
      <c r="D20" s="4" t="inlineStr">
        <is>
          <t>м²</t>
        </is>
      </c>
      <c r="E20" s="6" t="n">
        <v>36</v>
      </c>
      <c r="F20" s="6" t="n">
        <v>130</v>
      </c>
      <c r="G20" s="7">
        <f>E20*F20</f>
        <v/>
      </c>
    </row>
    <row r="21">
      <c r="A21" s="4" t="n">
        <v>2</v>
      </c>
      <c r="B21" s="5" t="inlineStr">
        <is>
          <t>4003</t>
        </is>
      </c>
      <c r="C21" s="5" t="inlineStr">
        <is>
          <t>Монтаж демпферной ленты</t>
        </is>
      </c>
      <c r="D21" s="4" t="inlineStr">
        <is>
          <t>м.п.</t>
        </is>
      </c>
      <c r="E21" s="6" t="n">
        <v>45</v>
      </c>
      <c r="F21" s="6" t="n">
        <v>130</v>
      </c>
      <c r="G21" s="7">
        <f>E21*F21</f>
        <v/>
      </c>
    </row>
    <row r="22">
      <c r="A22" s="4" t="n">
        <v>3</v>
      </c>
      <c r="B22" s="5" t="inlineStr">
        <is>
          <t>4004</t>
        </is>
      </c>
      <c r="C22" s="5" t="inlineStr">
        <is>
          <t>Засыпка керамзита</t>
        </is>
      </c>
      <c r="D22" s="4" t="inlineStr">
        <is>
          <t>м²</t>
        </is>
      </c>
      <c r="E22" s="6" t="n">
        <v>36</v>
      </c>
      <c r="F22" s="6" t="n">
        <v>180</v>
      </c>
      <c r="G22" s="7">
        <f>E22*F22</f>
        <v/>
      </c>
    </row>
    <row r="23">
      <c r="A23" s="4" t="n">
        <v>4</v>
      </c>
      <c r="B23" s="5" t="inlineStr">
        <is>
          <t>4005</t>
        </is>
      </c>
      <c r="C23" s="5" t="inlineStr">
        <is>
          <t>Тепло/звукоизоляция пола</t>
        </is>
      </c>
      <c r="D23" s="4" t="inlineStr">
        <is>
          <t>м²</t>
        </is>
      </c>
      <c r="E23" s="6" t="n">
        <v>36</v>
      </c>
      <c r="F23" s="6" t="n">
        <v>805</v>
      </c>
      <c r="G23" s="7">
        <f>E23*F23</f>
        <v/>
      </c>
    </row>
    <row r="24">
      <c r="A24" s="4" t="n">
        <v>5</v>
      </c>
      <c r="B24" s="5" t="inlineStr">
        <is>
          <t>4007</t>
        </is>
      </c>
      <c r="C24" s="5" t="inlineStr">
        <is>
          <t>Стяжка пола до 5 см</t>
        </is>
      </c>
      <c r="D24" s="4" t="inlineStr">
        <is>
          <t>м²</t>
        </is>
      </c>
      <c r="E24" s="6" t="n">
        <v>36</v>
      </c>
      <c r="F24" s="6" t="n">
        <v>1040</v>
      </c>
      <c r="G24" s="7">
        <f>E24*F24</f>
        <v/>
      </c>
    </row>
    <row r="25">
      <c r="A25" s="4" t="n">
        <v>6</v>
      </c>
      <c r="B25" s="5" t="inlineStr">
        <is>
          <t>4009</t>
        </is>
      </c>
      <c r="C25" s="5" t="inlineStr">
        <is>
          <t>Самовыравнивающаяся стяжка</t>
        </is>
      </c>
      <c r="D25" s="4" t="inlineStr">
        <is>
          <t>м²</t>
        </is>
      </c>
      <c r="E25" s="6" t="n">
        <v>36</v>
      </c>
      <c r="F25" s="6" t="n">
        <v>545</v>
      </c>
      <c r="G25" s="7">
        <f>E25*F25</f>
        <v/>
      </c>
    </row>
    <row r="26">
      <c r="A26" s="8" t="inlineStr">
        <is>
          <t>ИТОГО (4001)</t>
        </is>
      </c>
      <c r="B26" s="9" t="n"/>
      <c r="C26" s="9" t="n"/>
      <c r="D26" s="9" t="n"/>
      <c r="E26" s="9" t="n"/>
      <c r="F26" s="9" t="n"/>
      <c r="G26" s="10">
        <f>SUM(G20:G25)</f>
        <v/>
      </c>
    </row>
    <row r="27">
      <c r="A27" s="2" t="inlineStr">
        <is>
          <t>4. ПОТОЛОК (штукатурка + ГКЛ + подсветка)</t>
        </is>
      </c>
      <c r="B27" s="3" t="n"/>
      <c r="C27" s="3" t="n"/>
      <c r="D27" s="3" t="n"/>
      <c r="E27" s="3" t="n"/>
      <c r="F27" s="3" t="n"/>
      <c r="G27" s="3" t="n"/>
    </row>
    <row r="28">
      <c r="A28" s="4" t="n">
        <v>1</v>
      </c>
      <c r="B28" s="5" t="inlineStr">
        <is>
          <t>5001</t>
        </is>
      </c>
      <c r="C28" s="5" t="inlineStr">
        <is>
          <t>Антисептик потолка</t>
        </is>
      </c>
      <c r="D28" s="4" t="inlineStr">
        <is>
          <t>м²</t>
        </is>
      </c>
      <c r="E28" s="6" t="n">
        <v>36</v>
      </c>
      <c r="F28" s="6" t="n">
        <v>195</v>
      </c>
      <c r="G28" s="7">
        <f>E28*F28</f>
        <v/>
      </c>
    </row>
    <row r="29">
      <c r="A29" s="4" t="n">
        <v>2</v>
      </c>
      <c r="B29" s="5" t="inlineStr">
        <is>
          <t>5008</t>
        </is>
      </c>
      <c r="C29" s="5" t="inlineStr">
        <is>
          <t>Заделка рустов</t>
        </is>
      </c>
      <c r="D29" s="4" t="inlineStr">
        <is>
          <t>м.п.</t>
        </is>
      </c>
      <c r="E29" s="6" t="n">
        <v>24</v>
      </c>
      <c r="F29" s="6" t="n">
        <v>325</v>
      </c>
      <c r="G29" s="7">
        <f>E29*F29</f>
        <v/>
      </c>
    </row>
    <row r="30">
      <c r="A30" s="4" t="n">
        <v>3</v>
      </c>
      <c r="B30" s="5" t="inlineStr">
        <is>
          <t>5009</t>
        </is>
      </c>
      <c r="C30" s="5" t="inlineStr">
        <is>
          <t>Серпянка рустов</t>
        </is>
      </c>
      <c r="D30" s="4" t="inlineStr">
        <is>
          <t>м.п.</t>
        </is>
      </c>
      <c r="E30" s="6" t="n">
        <v>24</v>
      </c>
      <c r="F30" s="6" t="n">
        <v>90</v>
      </c>
      <c r="G30" s="7">
        <f>E30*F30</f>
        <v/>
      </c>
    </row>
    <row r="31">
      <c r="A31" s="4" t="n">
        <v>4</v>
      </c>
      <c r="B31" s="5" t="inlineStr">
        <is>
          <t>3032</t>
        </is>
      </c>
      <c r="C31" s="5" t="inlineStr">
        <is>
          <t>Выравнивание потолка по маякам</t>
        </is>
      </c>
      <c r="D31" s="4" t="inlineStr">
        <is>
          <t>м²</t>
        </is>
      </c>
      <c r="E31" s="6" t="n">
        <v>30</v>
      </c>
      <c r="F31" s="6" t="n">
        <v>1550</v>
      </c>
      <c r="G31" s="7">
        <f>E31*F31</f>
        <v/>
      </c>
    </row>
    <row r="32">
      <c r="A32" s="4" t="n">
        <v>5</v>
      </c>
      <c r="B32" s="5" t="inlineStr">
        <is>
          <t>3041</t>
        </is>
      </c>
      <c r="C32" s="5" t="inlineStr">
        <is>
          <t>Шпатлёвка потолка 1-й слой</t>
        </is>
      </c>
      <c r="D32" s="4" t="inlineStr">
        <is>
          <t>м²</t>
        </is>
      </c>
      <c r="E32" s="6" t="n">
        <v>36</v>
      </c>
      <c r="F32" s="6" t="n">
        <v>300</v>
      </c>
      <c r="G32" s="7">
        <f>E32*F32</f>
        <v/>
      </c>
    </row>
    <row r="33">
      <c r="A33" s="4" t="n">
        <v>6</v>
      </c>
      <c r="B33" s="5" t="inlineStr">
        <is>
          <t>3042</t>
        </is>
      </c>
      <c r="C33" s="5" t="inlineStr">
        <is>
          <t>Шпатлёвка потолка 2-й слой</t>
        </is>
      </c>
      <c r="D33" s="4" t="inlineStr">
        <is>
          <t>м²</t>
        </is>
      </c>
      <c r="E33" s="6" t="n">
        <v>36</v>
      </c>
      <c r="F33" s="6" t="n">
        <v>300</v>
      </c>
      <c r="G33" s="7">
        <f>E33*F33</f>
        <v/>
      </c>
    </row>
    <row r="34">
      <c r="A34" s="4" t="n">
        <v>7</v>
      </c>
      <c r="B34" s="5" t="inlineStr">
        <is>
          <t>3050</t>
        </is>
      </c>
      <c r="C34" s="5" t="inlineStr">
        <is>
          <t>Ошкуривание потолка</t>
        </is>
      </c>
      <c r="D34" s="4" t="inlineStr">
        <is>
          <t>м²</t>
        </is>
      </c>
      <c r="E34" s="6" t="n">
        <v>36</v>
      </c>
      <c r="F34" s="6" t="n">
        <v>260</v>
      </c>
      <c r="G34" s="7">
        <f>E34*F34</f>
        <v/>
      </c>
    </row>
    <row r="35">
      <c r="A35" s="4" t="n">
        <v>8</v>
      </c>
      <c r="B35" s="5" t="inlineStr">
        <is>
          <t>-</t>
        </is>
      </c>
      <c r="C35" s="5" t="inlineStr">
        <is>
          <t>Окраска потолка</t>
        </is>
      </c>
      <c r="D35" s="4" t="inlineStr">
        <is>
          <t>м²</t>
        </is>
      </c>
      <c r="E35" s="6" t="n">
        <v>36</v>
      </c>
      <c r="F35" s="6" t="n">
        <v>650</v>
      </c>
      <c r="G35" s="7">
        <f>E35*F35</f>
        <v/>
      </c>
    </row>
    <row r="36">
      <c r="A36" s="4" t="n">
        <v>9</v>
      </c>
      <c r="B36" s="5" t="inlineStr">
        <is>
          <t>2010</t>
        </is>
      </c>
      <c r="C36" s="5" t="inlineStr">
        <is>
          <t>ГКЛ потолка (трековое освещение)</t>
        </is>
      </c>
      <c r="D36" s="4" t="inlineStr">
        <is>
          <t>м²</t>
        </is>
      </c>
      <c r="E36" s="6" t="n">
        <v>12</v>
      </c>
      <c r="F36" s="6" t="n">
        <v>780</v>
      </c>
      <c r="G36" s="7">
        <f>E36*F36</f>
        <v/>
      </c>
    </row>
    <row r="37">
      <c r="A37" s="4" t="n">
        <v>10</v>
      </c>
      <c r="B37" s="5" t="inlineStr">
        <is>
          <t>5035</t>
        </is>
      </c>
      <c r="C37" s="5" t="inlineStr">
        <is>
          <t>Потолочный плинтус</t>
        </is>
      </c>
      <c r="D37" s="4" t="inlineStr">
        <is>
          <t>м.п.</t>
        </is>
      </c>
      <c r="E37" s="6" t="n">
        <v>28</v>
      </c>
      <c r="F37" s="6" t="n">
        <v>445</v>
      </c>
      <c r="G37" s="7">
        <f>E37*F37</f>
        <v/>
      </c>
    </row>
    <row r="38">
      <c r="A38" s="4" t="n">
        <v>11</v>
      </c>
      <c r="B38" s="5" t="inlineStr">
        <is>
          <t>-</t>
        </is>
      </c>
      <c r="C38" s="5" t="inlineStr">
        <is>
          <t>Подсветка потолка (лента)</t>
        </is>
      </c>
      <c r="D38" s="4" t="inlineStr">
        <is>
          <t>м.п.</t>
        </is>
      </c>
      <c r="E38" s="6" t="n">
        <v>15</v>
      </c>
      <c r="F38" s="6" t="n">
        <v>1200</v>
      </c>
      <c r="G38" s="7">
        <f>E38*F38</f>
        <v/>
      </c>
    </row>
    <row r="39">
      <c r="A39" s="8" t="inlineStr">
        <is>
          <t>ИТОГО (5001)</t>
        </is>
      </c>
      <c r="B39" s="9" t="n"/>
      <c r="C39" s="9" t="n"/>
      <c r="D39" s="9" t="n"/>
      <c r="E39" s="9" t="n"/>
      <c r="F39" s="9" t="n"/>
      <c r="G39" s="10">
        <f>SUM(G28:G38)</f>
        <v/>
      </c>
    </row>
    <row r="40">
      <c r="A40" s="2" t="inlineStr">
        <is>
          <t>5. ЧЕРНОВАЯ ЭЛЕКТРИКА</t>
        </is>
      </c>
      <c r="B40" s="3" t="n"/>
      <c r="C40" s="3" t="n"/>
      <c r="D40" s="3" t="n"/>
      <c r="E40" s="3" t="n"/>
      <c r="F40" s="3" t="n"/>
      <c r="G40" s="3" t="n"/>
    </row>
    <row r="41">
      <c r="A41" s="4" t="n">
        <v>1</v>
      </c>
      <c r="B41" s="5" t="inlineStr">
        <is>
          <t>6004</t>
        </is>
      </c>
      <c r="C41" s="5" t="inlineStr">
        <is>
          <t>Штробление бетона 20×20</t>
        </is>
      </c>
      <c r="D41" s="4" t="inlineStr">
        <is>
          <t>м.п.</t>
        </is>
      </c>
      <c r="E41" s="6" t="n">
        <v>70</v>
      </c>
      <c r="F41" s="6" t="n">
        <v>620</v>
      </c>
      <c r="G41" s="7">
        <f>E41*F41</f>
        <v/>
      </c>
    </row>
    <row r="42">
      <c r="A42" s="4" t="n">
        <v>2</v>
      </c>
      <c r="B42" s="5" t="inlineStr">
        <is>
          <t>6013</t>
        </is>
      </c>
      <c r="C42" s="5" t="inlineStr">
        <is>
          <t>Укладка провода в гофре</t>
        </is>
      </c>
      <c r="D42" s="4" t="inlineStr">
        <is>
          <t>м.п.</t>
        </is>
      </c>
      <c r="E42" s="6" t="n">
        <v>450</v>
      </c>
      <c r="F42" s="6" t="n">
        <v>145</v>
      </c>
      <c r="G42" s="7">
        <f>E42*F42</f>
        <v/>
      </c>
    </row>
    <row r="43">
      <c r="A43" s="4" t="n">
        <v>3</v>
      </c>
      <c r="B43" s="5" t="inlineStr">
        <is>
          <t>6019</t>
        </is>
      </c>
      <c r="C43" s="5" t="inlineStr">
        <is>
          <t>Автомат однофазный</t>
        </is>
      </c>
      <c r="D43" s="4" t="inlineStr">
        <is>
          <t>шт</t>
        </is>
      </c>
      <c r="E43" s="6" t="n">
        <v>6</v>
      </c>
      <c r="F43" s="6" t="n">
        <v>935</v>
      </c>
      <c r="G43" s="7">
        <f>E43*F43</f>
        <v/>
      </c>
    </row>
    <row r="44">
      <c r="A44" s="4" t="n">
        <v>4</v>
      </c>
      <c r="B44" s="5" t="inlineStr">
        <is>
          <t>6033</t>
        </is>
      </c>
      <c r="C44" s="5" t="inlineStr">
        <is>
          <t>Датчик тёплого пола</t>
        </is>
      </c>
      <c r="D44" s="4" t="inlineStr">
        <is>
          <t>шт</t>
        </is>
      </c>
      <c r="E44" s="6" t="n">
        <v>1</v>
      </c>
      <c r="F44" s="6" t="n">
        <v>925</v>
      </c>
      <c r="G44" s="7">
        <f>E44*F44</f>
        <v/>
      </c>
    </row>
    <row r="45">
      <c r="A45" s="4" t="n">
        <v>5</v>
      </c>
      <c r="B45" s="5" t="inlineStr">
        <is>
          <t>6034</t>
        </is>
      </c>
      <c r="C45" s="5" t="inlineStr">
        <is>
          <t>Кабель тёплого пола</t>
        </is>
      </c>
      <c r="D45" s="4" t="inlineStr">
        <is>
          <t>м²</t>
        </is>
      </c>
      <c r="E45" s="6" t="n">
        <v>5</v>
      </c>
      <c r="F45" s="6" t="n">
        <v>885</v>
      </c>
      <c r="G45" s="7">
        <f>E45*F45</f>
        <v/>
      </c>
    </row>
    <row r="46">
      <c r="A46" s="4" t="n">
        <v>6</v>
      </c>
      <c r="B46" s="5" t="inlineStr">
        <is>
          <t>6035</t>
        </is>
      </c>
      <c r="C46" s="5" t="inlineStr">
        <is>
          <t>Подрозетник с заделкой</t>
        </is>
      </c>
      <c r="D46" s="4" t="inlineStr">
        <is>
          <t>шт</t>
        </is>
      </c>
      <c r="E46" s="6" t="n">
        <v>35</v>
      </c>
      <c r="F46" s="6" t="n">
        <v>345</v>
      </c>
      <c r="G46" s="7">
        <f>E46*F46</f>
        <v/>
      </c>
    </row>
    <row r="47">
      <c r="A47" s="4" t="n">
        <v>7</v>
      </c>
      <c r="B47" s="5" t="inlineStr">
        <is>
          <t>6042</t>
        </is>
      </c>
      <c r="C47" s="5" t="inlineStr">
        <is>
          <t>Ниша под щит (24 авт.)</t>
        </is>
      </c>
      <c r="D47" s="4" t="inlineStr">
        <is>
          <t>шт</t>
        </is>
      </c>
      <c r="E47" s="6" t="n">
        <v>1</v>
      </c>
      <c r="F47" s="6" t="n">
        <v>8450</v>
      </c>
      <c r="G47" s="7">
        <f>E47*F47</f>
        <v/>
      </c>
    </row>
    <row r="48">
      <c r="A48" s="4" t="n">
        <v>8</v>
      </c>
      <c r="B48" s="5" t="inlineStr">
        <is>
          <t>-</t>
        </is>
      </c>
      <c r="C48" s="5" t="inlineStr">
        <is>
          <t>Шинопровод трековый</t>
        </is>
      </c>
      <c r="D48" s="4" t="inlineStr">
        <is>
          <t>м.п.</t>
        </is>
      </c>
      <c r="E48" s="6" t="n">
        <v>15</v>
      </c>
      <c r="F48" s="6" t="n">
        <v>1500</v>
      </c>
      <c r="G48" s="7">
        <f>E48*F48</f>
        <v/>
      </c>
    </row>
    <row r="49">
      <c r="A49" s="4" t="n">
        <v>9</v>
      </c>
      <c r="B49" s="5" t="inlineStr">
        <is>
          <t>-</t>
        </is>
      </c>
      <c r="C49" s="5" t="inlineStr">
        <is>
          <t>Подготовка под электрошторы</t>
        </is>
      </c>
      <c r="D49" s="4" t="inlineStr">
        <is>
          <t>шт</t>
        </is>
      </c>
      <c r="E49" s="6" t="n">
        <v>4</v>
      </c>
      <c r="F49" s="6" t="n">
        <v>2500</v>
      </c>
      <c r="G49" s="7">
        <f>E49*F49</f>
        <v/>
      </c>
    </row>
    <row r="50">
      <c r="A50" s="8" t="inlineStr">
        <is>
          <t>ИТОГО (6004)</t>
        </is>
      </c>
      <c r="B50" s="9" t="n"/>
      <c r="C50" s="9" t="n"/>
      <c r="D50" s="9" t="n"/>
      <c r="E50" s="9" t="n"/>
      <c r="F50" s="9" t="n"/>
      <c r="G50" s="10">
        <f>SUM(G41:G49)</f>
        <v/>
      </c>
    </row>
    <row r="51">
      <c r="A51" s="2" t="inlineStr">
        <is>
          <t>6. САНТЕХНИКА + ОТОПЛЕНИЕ</t>
        </is>
      </c>
      <c r="B51" s="3" t="n"/>
      <c r="C51" s="3" t="n"/>
      <c r="D51" s="3" t="n"/>
      <c r="E51" s="3" t="n"/>
      <c r="F51" s="3" t="n"/>
      <c r="G51" s="3" t="n"/>
    </row>
    <row r="52">
      <c r="A52" s="4" t="n">
        <v>1</v>
      </c>
      <c r="B52" s="5" t="inlineStr">
        <is>
          <t>7002</t>
        </is>
      </c>
      <c r="C52" s="5" t="inlineStr">
        <is>
          <t>Штробление под трубы (бетон)</t>
        </is>
      </c>
      <c r="D52" s="4" t="inlineStr">
        <is>
          <t>м.п.</t>
        </is>
      </c>
      <c r="E52" s="6" t="n">
        <v>25</v>
      </c>
      <c r="F52" s="6" t="n">
        <v>1183</v>
      </c>
      <c r="G52" s="7">
        <f>E52*F52</f>
        <v/>
      </c>
    </row>
    <row r="53">
      <c r="A53" s="4" t="n">
        <v>2</v>
      </c>
      <c r="B53" s="5" t="inlineStr">
        <is>
          <t>7006</t>
        </is>
      </c>
      <c r="C53" s="5" t="inlineStr">
        <is>
          <t>Штробление под d110</t>
        </is>
      </c>
      <c r="D53" s="4" t="inlineStr">
        <is>
          <t>м.п.</t>
        </is>
      </c>
      <c r="E53" s="6" t="n">
        <v>4</v>
      </c>
      <c r="F53" s="6" t="n">
        <v>1125</v>
      </c>
      <c r="G53" s="7">
        <f>E53*F53</f>
        <v/>
      </c>
    </row>
    <row r="54">
      <c r="A54" s="4" t="n">
        <v>3</v>
      </c>
      <c r="B54" s="5" t="inlineStr">
        <is>
          <t>7009</t>
        </is>
      </c>
      <c r="C54" s="5" t="inlineStr">
        <is>
          <t>Гребёнка в сборе</t>
        </is>
      </c>
      <c r="D54" s="4" t="inlineStr">
        <is>
          <t>шт</t>
        </is>
      </c>
      <c r="E54" s="6" t="n">
        <v>1</v>
      </c>
      <c r="F54" s="6" t="n">
        <v>5915</v>
      </c>
      <c r="G54" s="7">
        <f>E54*F54</f>
        <v/>
      </c>
    </row>
    <row r="55">
      <c r="A55" s="4" t="n">
        <v>4</v>
      </c>
      <c r="B55" s="5" t="inlineStr">
        <is>
          <t>7011</t>
        </is>
      </c>
      <c r="C55" s="5" t="inlineStr">
        <is>
          <t>Перемычка</t>
        </is>
      </c>
      <c r="D55" s="4" t="inlineStr">
        <is>
          <t>шт</t>
        </is>
      </c>
      <c r="E55" s="6" t="n">
        <v>1</v>
      </c>
      <c r="F55" s="6" t="n">
        <v>5005</v>
      </c>
      <c r="G55" s="7">
        <f>E55*F55</f>
        <v/>
      </c>
    </row>
    <row r="56">
      <c r="A56" s="4" t="n">
        <v>5</v>
      </c>
      <c r="B56" s="5" t="inlineStr">
        <is>
          <t>7012</t>
        </is>
      </c>
      <c r="C56" s="5" t="inlineStr">
        <is>
          <t>Редуктор</t>
        </is>
      </c>
      <c r="D56" s="4" t="inlineStr">
        <is>
          <t>шт</t>
        </is>
      </c>
      <c r="E56" s="6" t="n">
        <v>1</v>
      </c>
      <c r="F56" s="6" t="n">
        <v>1885</v>
      </c>
      <c r="G56" s="7">
        <f>E56*F56</f>
        <v/>
      </c>
    </row>
    <row r="57">
      <c r="A57" s="4" t="n">
        <v>6</v>
      </c>
      <c r="B57" s="5" t="inlineStr">
        <is>
          <t>7021</t>
        </is>
      </c>
      <c r="C57" s="5" t="inlineStr">
        <is>
          <t>Трубы REHAU (вода)</t>
        </is>
      </c>
      <c r="D57" s="4" t="inlineStr">
        <is>
          <t>м.п.</t>
        </is>
      </c>
      <c r="E57" s="6" t="n">
        <v>30</v>
      </c>
      <c r="F57" s="6" t="n">
        <v>1105</v>
      </c>
      <c r="G57" s="7">
        <f>E57*F57</f>
        <v/>
      </c>
    </row>
    <row r="58">
      <c r="A58" s="4" t="n">
        <v>7</v>
      </c>
      <c r="B58" s="5" t="inlineStr">
        <is>
          <t>7040</t>
        </is>
      </c>
      <c r="C58" s="5" t="inlineStr">
        <is>
          <t>Изоляция труб</t>
        </is>
      </c>
      <c r="D58" s="4" t="inlineStr">
        <is>
          <t>м.п.</t>
        </is>
      </c>
      <c r="E58" s="6" t="n">
        <v>5</v>
      </c>
      <c r="F58" s="6" t="n">
        <v>415</v>
      </c>
      <c r="G58" s="7">
        <f>E58*F58</f>
        <v/>
      </c>
    </row>
    <row r="59">
      <c r="A59" s="4" t="n">
        <v>8</v>
      </c>
      <c r="B59" s="5" t="inlineStr">
        <is>
          <t>7039</t>
        </is>
      </c>
      <c r="C59" s="5" t="inlineStr">
        <is>
          <t>Трасса отопления</t>
        </is>
      </c>
      <c r="D59" s="4" t="inlineStr">
        <is>
          <t>м.п.</t>
        </is>
      </c>
      <c r="E59" s="6" t="n">
        <v>50</v>
      </c>
      <c r="F59" s="6" t="n">
        <v>1000</v>
      </c>
      <c r="G59" s="7">
        <f>E59*F59</f>
        <v/>
      </c>
    </row>
    <row r="60">
      <c r="A60" s="4" t="n">
        <v>9</v>
      </c>
      <c r="B60" s="5" t="inlineStr">
        <is>
          <t>7528</t>
        </is>
      </c>
      <c r="C60" s="5" t="inlineStr">
        <is>
          <t>Конвектор (монтаж)</t>
        </is>
      </c>
      <c r="D60" s="4" t="inlineStr">
        <is>
          <t>шт</t>
        </is>
      </c>
      <c r="E60" s="6" t="n">
        <v>4</v>
      </c>
      <c r="F60" s="6" t="n">
        <v>5135</v>
      </c>
      <c r="G60" s="7">
        <f>E60*F60</f>
        <v/>
      </c>
    </row>
    <row r="61">
      <c r="A61" s="4" t="n">
        <v>10</v>
      </c>
      <c r="B61" s="5" t="inlineStr">
        <is>
          <t>7534</t>
        </is>
      </c>
      <c r="C61" s="5" t="inlineStr">
        <is>
          <t>Опрессовка отопления</t>
        </is>
      </c>
      <c r="D61" s="4" t="inlineStr">
        <is>
          <t>компл</t>
        </is>
      </c>
      <c r="E61" s="6" t="n">
        <v>1</v>
      </c>
      <c r="F61" s="6" t="n">
        <v>9100</v>
      </c>
      <c r="G61" s="7">
        <f>E61*F61</f>
        <v/>
      </c>
    </row>
    <row r="62">
      <c r="A62" s="4" t="n">
        <v>11</v>
      </c>
      <c r="B62" s="5" t="inlineStr">
        <is>
          <t>-</t>
        </is>
      </c>
      <c r="C62" s="5" t="inlineStr">
        <is>
          <t>Коллектор отопления 4 контура</t>
        </is>
      </c>
      <c r="D62" s="4" t="inlineStr">
        <is>
          <t>шт</t>
        </is>
      </c>
      <c r="E62" s="6" t="n">
        <v>1</v>
      </c>
      <c r="F62" s="6" t="n">
        <v>12000</v>
      </c>
      <c r="G62" s="7">
        <f>E62*F62</f>
        <v/>
      </c>
    </row>
    <row r="63">
      <c r="A63" s="4" t="n">
        <v>12</v>
      </c>
      <c r="B63" s="5" t="inlineStr">
        <is>
          <t>-</t>
        </is>
      </c>
      <c r="C63" s="5" t="inlineStr">
        <is>
          <t>Замена тройника канализации</t>
        </is>
      </c>
      <c r="D63" s="4" t="inlineStr">
        <is>
          <t>шт</t>
        </is>
      </c>
      <c r="E63" s="6" t="n">
        <v>1</v>
      </c>
      <c r="F63" s="6" t="n">
        <v>3500</v>
      </c>
      <c r="G63" s="7">
        <f>E63*F63</f>
        <v/>
      </c>
    </row>
    <row r="64">
      <c r="A64" s="8" t="inlineStr">
        <is>
          <t>ИТОГО (7002)</t>
        </is>
      </c>
      <c r="B64" s="9" t="n"/>
      <c r="C64" s="9" t="n"/>
      <c r="D64" s="9" t="n"/>
      <c r="E64" s="9" t="n"/>
      <c r="F64" s="9" t="n"/>
      <c r="G64" s="10">
        <f>SUM(G52:G63)</f>
        <v/>
      </c>
    </row>
    <row r="65">
      <c r="A65" s="2" t="inlineStr">
        <is>
          <t>7. ЧИСТОВЫЕ СТЕНЫ (декор. штукатурка)</t>
        </is>
      </c>
      <c r="B65" s="3" t="n"/>
      <c r="C65" s="3" t="n"/>
      <c r="D65" s="3" t="n"/>
      <c r="E65" s="3" t="n"/>
      <c r="F65" s="3" t="n"/>
      <c r="G65" s="3" t="n"/>
    </row>
    <row r="66">
      <c r="A66" s="4" t="n">
        <v>1</v>
      </c>
      <c r="B66" s="5" t="inlineStr">
        <is>
          <t>3028</t>
        </is>
      </c>
      <c r="C66" s="5" t="inlineStr">
        <is>
          <t>Грунтовка стен (1-й слой)</t>
        </is>
      </c>
      <c r="D66" s="4" t="inlineStr">
        <is>
          <t>м²</t>
        </is>
      </c>
      <c r="E66" s="6" t="n">
        <v>90</v>
      </c>
      <c r="F66" s="6" t="n">
        <v>130</v>
      </c>
      <c r="G66" s="7">
        <f>E66*F66</f>
        <v/>
      </c>
    </row>
    <row r="67">
      <c r="A67" s="4" t="n">
        <v>2</v>
      </c>
      <c r="B67" s="5" t="inlineStr">
        <is>
          <t>3041</t>
        </is>
      </c>
      <c r="C67" s="5" t="inlineStr">
        <is>
          <t>Шпатлёвка стен 1-й слой</t>
        </is>
      </c>
      <c r="D67" s="4" t="inlineStr">
        <is>
          <t>м²</t>
        </is>
      </c>
      <c r="E67" s="6" t="n">
        <v>90</v>
      </c>
      <c r="F67" s="6" t="n">
        <v>300</v>
      </c>
      <c r="G67" s="7">
        <f>E67*F67</f>
        <v/>
      </c>
    </row>
    <row r="68">
      <c r="A68" s="4" t="n">
        <v>3</v>
      </c>
      <c r="B68" s="5" t="inlineStr">
        <is>
          <t>3042</t>
        </is>
      </c>
      <c r="C68" s="5" t="inlineStr">
        <is>
          <t>Шпатлёвка стен 2-й слой</t>
        </is>
      </c>
      <c r="D68" s="4" t="inlineStr">
        <is>
          <t>м²</t>
        </is>
      </c>
      <c r="E68" s="6" t="n">
        <v>90</v>
      </c>
      <c r="F68" s="6" t="n">
        <v>300</v>
      </c>
      <c r="G68" s="7">
        <f>E68*F68</f>
        <v/>
      </c>
    </row>
    <row r="69">
      <c r="A69" s="4" t="n">
        <v>4</v>
      </c>
      <c r="B69" s="5" t="inlineStr">
        <is>
          <t>3043</t>
        </is>
      </c>
      <c r="C69" s="5" t="inlineStr">
        <is>
          <t>Финишная шпатлёвка</t>
        </is>
      </c>
      <c r="D69" s="4" t="inlineStr">
        <is>
          <t>м²</t>
        </is>
      </c>
      <c r="E69" s="6" t="n">
        <v>90</v>
      </c>
      <c r="F69" s="6" t="n">
        <v>300</v>
      </c>
      <c r="G69" s="7">
        <f>E69*F69</f>
        <v/>
      </c>
    </row>
    <row r="70">
      <c r="A70" s="4" t="n">
        <v>5</v>
      </c>
      <c r="B70" s="5" t="inlineStr">
        <is>
          <t>3050</t>
        </is>
      </c>
      <c r="C70" s="5" t="inlineStr">
        <is>
          <t>Ошкуривание стен</t>
        </is>
      </c>
      <c r="D70" s="4" t="inlineStr">
        <is>
          <t>м²</t>
        </is>
      </c>
      <c r="E70" s="6" t="n">
        <v>90</v>
      </c>
      <c r="F70" s="6" t="n">
        <v>260</v>
      </c>
      <c r="G70" s="7">
        <f>E70*F70</f>
        <v/>
      </c>
    </row>
    <row r="71">
      <c r="A71" s="4" t="n">
        <v>6</v>
      </c>
      <c r="B71" s="5" t="inlineStr">
        <is>
          <t>3040</t>
        </is>
      </c>
      <c r="C71" s="5" t="inlineStr">
        <is>
          <t>Стеклоткань (паутинка)</t>
        </is>
      </c>
      <c r="D71" s="4" t="inlineStr">
        <is>
          <t>м²</t>
        </is>
      </c>
      <c r="E71" s="6" t="n">
        <v>90</v>
      </c>
      <c r="F71" s="6" t="n">
        <v>300</v>
      </c>
      <c r="G71" s="7">
        <f>E71*F71</f>
        <v/>
      </c>
    </row>
    <row r="72">
      <c r="A72" s="4" t="n">
        <v>7</v>
      </c>
      <c r="B72" s="5" t="inlineStr">
        <is>
          <t>-</t>
        </is>
      </c>
      <c r="C72" s="5" t="inlineStr">
        <is>
          <t>Декор. штукатурка «картомерок»</t>
        </is>
      </c>
      <c r="D72" s="4" t="inlineStr">
        <is>
          <t>м²</t>
        </is>
      </c>
      <c r="E72" s="6" t="n">
        <v>85</v>
      </c>
      <c r="F72" s="6" t="n">
        <v>1950</v>
      </c>
      <c r="G72" s="7">
        <f>E72*F72</f>
        <v/>
      </c>
    </row>
    <row r="73">
      <c r="A73" s="4" t="n">
        <v>8</v>
      </c>
      <c r="B73" s="5" t="inlineStr">
        <is>
          <t>-</t>
        </is>
      </c>
      <c r="C73" s="5" t="inlineStr">
        <is>
          <t>Декор. штукатурка в с/у (влагостойкая)</t>
        </is>
      </c>
      <c r="D73" s="4" t="inlineStr">
        <is>
          <t>м²</t>
        </is>
      </c>
      <c r="E73" s="6" t="n">
        <v>18</v>
      </c>
      <c r="F73" s="6" t="n">
        <v>2200</v>
      </c>
      <c r="G73" s="7">
        <f>E73*F73</f>
        <v/>
      </c>
    </row>
    <row r="74">
      <c r="A74" s="8" t="inlineStr">
        <is>
          <t>ИТОГО (3028)</t>
        </is>
      </c>
      <c r="B74" s="9" t="n"/>
      <c r="C74" s="9" t="n"/>
      <c r="D74" s="9" t="n"/>
      <c r="E74" s="9" t="n"/>
      <c r="F74" s="9" t="n"/>
      <c r="G74" s="10">
        <f>SUM(G66:G73)</f>
        <v/>
      </c>
    </row>
    <row r="75">
      <c r="A75" s="2" t="inlineStr">
        <is>
          <t>8. ЧИСТОВЫЕ ПОЛЫ (кварцвинил + плитка)</t>
        </is>
      </c>
      <c r="B75" s="3" t="n"/>
      <c r="C75" s="3" t="n"/>
      <c r="D75" s="3" t="n"/>
      <c r="E75" s="3" t="n"/>
      <c r="F75" s="3" t="n"/>
      <c r="G75" s="3" t="n"/>
    </row>
    <row r="76">
      <c r="A76" s="4" t="n">
        <v>1</v>
      </c>
      <c r="B76" s="5" t="inlineStr">
        <is>
          <t>4507</t>
        </is>
      </c>
      <c r="C76" s="5" t="inlineStr">
        <is>
          <t>Керамогранит (пол, с/у)</t>
        </is>
      </c>
      <c r="D76" s="4" t="inlineStr">
        <is>
          <t>м²</t>
        </is>
      </c>
      <c r="E76" s="6" t="n">
        <v>10</v>
      </c>
      <c r="F76" s="6" t="n">
        <v>4420</v>
      </c>
      <c r="G76" s="7">
        <f>E76*F76</f>
        <v/>
      </c>
    </row>
    <row r="77">
      <c r="A77" s="4" t="n">
        <v>2</v>
      </c>
      <c r="B77" s="5" t="inlineStr">
        <is>
          <t>4510</t>
        </is>
      </c>
      <c r="C77" s="5" t="inlineStr">
        <is>
          <t>Подрезка плитки</t>
        </is>
      </c>
      <c r="D77" s="4" t="inlineStr">
        <is>
          <t>м.п.</t>
        </is>
      </c>
      <c r="E77" s="6" t="n">
        <v>8</v>
      </c>
      <c r="F77" s="6" t="n">
        <v>885</v>
      </c>
      <c r="G77" s="7">
        <f>E77*F77</f>
        <v/>
      </c>
    </row>
    <row r="78">
      <c r="A78" s="4" t="n">
        <v>3</v>
      </c>
      <c r="B78" s="5" t="inlineStr">
        <is>
          <t>4529</t>
        </is>
      </c>
      <c r="C78" s="5" t="inlineStr">
        <is>
          <t>Плинтус пластик</t>
        </is>
      </c>
      <c r="D78" s="4" t="inlineStr">
        <is>
          <t>м.п.</t>
        </is>
      </c>
      <c r="E78" s="6" t="n">
        <v>32</v>
      </c>
      <c r="F78" s="6" t="n">
        <v>380</v>
      </c>
      <c r="G78" s="7">
        <f>E78*F78</f>
        <v/>
      </c>
    </row>
    <row r="79">
      <c r="A79" s="4" t="n">
        <v>4</v>
      </c>
      <c r="B79" s="5" t="inlineStr">
        <is>
          <t>4514</t>
        </is>
      </c>
      <c r="C79" s="5" t="inlineStr">
        <is>
          <t>Порожек</t>
        </is>
      </c>
      <c r="D79" s="4" t="inlineStr">
        <is>
          <t>шт</t>
        </is>
      </c>
      <c r="E79" s="6" t="n">
        <v>2</v>
      </c>
      <c r="F79" s="6" t="n">
        <v>845</v>
      </c>
      <c r="G79" s="7">
        <f>E79*F79</f>
        <v/>
      </c>
    </row>
    <row r="80">
      <c r="A80" s="8" t="inlineStr">
        <is>
          <t>ИТОГО (4507)</t>
        </is>
      </c>
      <c r="B80" s="9" t="n"/>
      <c r="C80" s="9" t="n"/>
      <c r="D80" s="9" t="n"/>
      <c r="E80" s="9" t="n"/>
      <c r="F80" s="9" t="n"/>
      <c r="G80" s="10">
        <f>SUM(G76:G79)</f>
        <v/>
      </c>
    </row>
    <row r="81">
      <c r="A81" s="2" t="inlineStr">
        <is>
          <t>9. ЧИСТОВАЯ ЭЛЕКТРИКА</t>
        </is>
      </c>
      <c r="B81" s="3" t="n"/>
      <c r="C81" s="3" t="n"/>
      <c r="D81" s="3" t="n"/>
      <c r="E81" s="3" t="n"/>
      <c r="F81" s="3" t="n"/>
      <c r="G81" s="3" t="n"/>
    </row>
    <row r="82">
      <c r="A82" s="4" t="n">
        <v>1</v>
      </c>
      <c r="B82" s="5" t="inlineStr">
        <is>
          <t>6502</t>
        </is>
      </c>
      <c r="C82" s="5" t="inlineStr">
        <is>
          <t>Скрытая электроточка</t>
        </is>
      </c>
      <c r="D82" s="4" t="inlineStr">
        <is>
          <t>шт</t>
        </is>
      </c>
      <c r="E82" s="6" t="n">
        <v>25</v>
      </c>
      <c r="F82" s="6" t="n">
        <v>645</v>
      </c>
      <c r="G82" s="7">
        <f>E82*F82</f>
        <v/>
      </c>
    </row>
    <row r="83">
      <c r="A83" s="4" t="n">
        <v>2</v>
      </c>
      <c r="B83" s="5" t="inlineStr">
        <is>
          <t>6503</t>
        </is>
      </c>
      <c r="C83" s="5" t="inlineStr">
        <is>
          <t>Проходной выключатель</t>
        </is>
      </c>
      <c r="D83" s="4" t="inlineStr">
        <is>
          <t>шт</t>
        </is>
      </c>
      <c r="E83" s="6" t="n">
        <v>6</v>
      </c>
      <c r="F83" s="6" t="n">
        <v>645</v>
      </c>
      <c r="G83" s="7">
        <f>E83*F83</f>
        <v/>
      </c>
    </row>
    <row r="84">
      <c r="A84" s="4" t="n">
        <v>3</v>
      </c>
      <c r="B84" s="5" t="inlineStr">
        <is>
          <t>6508</t>
        </is>
      </c>
      <c r="C84" s="5" t="inlineStr">
        <is>
          <t>Регулятор тёплого пола</t>
        </is>
      </c>
      <c r="D84" s="4" t="inlineStr">
        <is>
          <t>шт</t>
        </is>
      </c>
      <c r="E84" s="6" t="n">
        <v>1</v>
      </c>
      <c r="F84" s="6" t="n">
        <v>645</v>
      </c>
      <c r="G84" s="7">
        <f>E84*F84</f>
        <v/>
      </c>
    </row>
    <row r="85">
      <c r="A85" s="4" t="n">
        <v>4</v>
      </c>
      <c r="B85" s="5" t="inlineStr">
        <is>
          <t>6519</t>
        </is>
      </c>
      <c r="C85" s="5" t="inlineStr">
        <is>
          <t>Крюк под люстру</t>
        </is>
      </c>
      <c r="D85" s="4" t="inlineStr">
        <is>
          <t>шт</t>
        </is>
      </c>
      <c r="E85" s="6" t="n">
        <v>2</v>
      </c>
      <c r="F85" s="6" t="n">
        <v>665</v>
      </c>
      <c r="G85" s="7">
        <f>E85*F85</f>
        <v/>
      </c>
    </row>
    <row r="86">
      <c r="A86" s="4" t="n">
        <v>5</v>
      </c>
      <c r="B86" s="5" t="inlineStr">
        <is>
          <t>6520</t>
        </is>
      </c>
      <c r="C86" s="5" t="inlineStr">
        <is>
          <t>Люстра простая</t>
        </is>
      </c>
      <c r="D86" s="4" t="inlineStr">
        <is>
          <t>шт</t>
        </is>
      </c>
      <c r="E86" s="6" t="n">
        <v>1</v>
      </c>
      <c r="F86" s="6" t="n">
        <v>4225</v>
      </c>
      <c r="G86" s="7">
        <f>E86*F86</f>
        <v/>
      </c>
    </row>
    <row r="87">
      <c r="A87" s="4" t="n">
        <v>6</v>
      </c>
      <c r="B87" s="5" t="inlineStr">
        <is>
          <t>6538</t>
        </is>
      </c>
      <c r="C87" s="5" t="inlineStr">
        <is>
          <t>Розетка под электроплиту</t>
        </is>
      </c>
      <c r="D87" s="4" t="inlineStr">
        <is>
          <t>шт</t>
        </is>
      </c>
      <c r="E87" s="6" t="n">
        <v>1</v>
      </c>
      <c r="F87" s="6" t="n">
        <v>1885</v>
      </c>
      <c r="G87" s="7">
        <f>E87*F87</f>
        <v/>
      </c>
    </row>
    <row r="88">
      <c r="A88" s="4" t="n">
        <v>7</v>
      </c>
      <c r="B88" s="5" t="inlineStr">
        <is>
          <t>6558</t>
        </is>
      </c>
      <c r="C88" s="5" t="inlineStr">
        <is>
          <t>Встроенный светильник</t>
        </is>
      </c>
      <c r="D88" s="4" t="inlineStr">
        <is>
          <t>шт</t>
        </is>
      </c>
      <c r="E88" s="6" t="n">
        <v>10</v>
      </c>
      <c r="F88" s="6" t="n">
        <v>585</v>
      </c>
      <c r="G88" s="7">
        <f>E88*F88</f>
        <v/>
      </c>
    </row>
    <row r="89">
      <c r="A89" s="4" t="n">
        <v>8</v>
      </c>
      <c r="B89" s="5" t="inlineStr">
        <is>
          <t>-</t>
        </is>
      </c>
      <c r="C89" s="5" t="inlineStr">
        <is>
          <t>Трековый светильник</t>
        </is>
      </c>
      <c r="D89" s="4" t="inlineStr">
        <is>
          <t>шт</t>
        </is>
      </c>
      <c r="E89" s="6" t="n">
        <v>8</v>
      </c>
      <c r="F89" s="6" t="n">
        <v>2500</v>
      </c>
      <c r="G89" s="7">
        <f>E89*F89</f>
        <v/>
      </c>
    </row>
    <row r="90">
      <c r="A90" s="4" t="n">
        <v>9</v>
      </c>
      <c r="B90" s="5" t="inlineStr">
        <is>
          <t>-</t>
        </is>
      </c>
      <c r="C90" s="5" t="inlineStr">
        <is>
          <t>Привод электроштор</t>
        </is>
      </c>
      <c r="D90" s="4" t="inlineStr">
        <is>
          <t>шт</t>
        </is>
      </c>
      <c r="E90" s="6" t="n">
        <v>4</v>
      </c>
      <c r="F90" s="6" t="n">
        <v>4500</v>
      </c>
      <c r="G90" s="7">
        <f>E90*F90</f>
        <v/>
      </c>
    </row>
    <row r="91">
      <c r="A91" s="4" t="n">
        <v>10</v>
      </c>
      <c r="B91" s="5" t="inlineStr">
        <is>
          <t>-</t>
        </is>
      </c>
      <c r="C91" s="5" t="inlineStr">
        <is>
          <t>Скрытый карниз для штор</t>
        </is>
      </c>
      <c r="D91" s="4" t="inlineStr">
        <is>
          <t>шт</t>
        </is>
      </c>
      <c r="E91" s="6" t="n">
        <v>3</v>
      </c>
      <c r="F91" s="6" t="n">
        <v>3500</v>
      </c>
      <c r="G91" s="7">
        <f>E91*F91</f>
        <v/>
      </c>
    </row>
    <row r="92">
      <c r="A92" s="8" t="inlineStr">
        <is>
          <t>ИТОГО (6502)</t>
        </is>
      </c>
      <c r="B92" s="9" t="n"/>
      <c r="C92" s="9" t="n"/>
      <c r="D92" s="9" t="n"/>
      <c r="E92" s="9" t="n"/>
      <c r="F92" s="9" t="n"/>
      <c r="G92" s="10">
        <f>SUM(G82:G91)</f>
        <v/>
      </c>
    </row>
    <row r="93">
      <c r="A93" s="2" t="inlineStr">
        <is>
          <t>10. ЧИСТОВАЯ САНТЕХНИКА</t>
        </is>
      </c>
      <c r="B93" s="3" t="n"/>
      <c r="C93" s="3" t="n"/>
      <c r="D93" s="3" t="n"/>
      <c r="E93" s="3" t="n"/>
      <c r="F93" s="3" t="n"/>
      <c r="G93" s="3" t="n"/>
    </row>
    <row r="94">
      <c r="A94" s="4" t="n">
        <v>1</v>
      </c>
      <c r="B94" s="5" t="inlineStr">
        <is>
          <t>7500</t>
        </is>
      </c>
      <c r="C94" s="5" t="inlineStr">
        <is>
          <t>Полотенцесушитель</t>
        </is>
      </c>
      <c r="D94" s="4" t="inlineStr">
        <is>
          <t>шт</t>
        </is>
      </c>
      <c r="E94" s="6" t="n">
        <v>1</v>
      </c>
      <c r="F94" s="6" t="n">
        <v>8060</v>
      </c>
      <c r="G94" s="7">
        <f>E94*F94</f>
        <v/>
      </c>
    </row>
    <row r="95">
      <c r="A95" s="4" t="n">
        <v>2</v>
      </c>
      <c r="B95" s="5" t="inlineStr">
        <is>
          <t>7502</t>
        </is>
      </c>
      <c r="C95" s="5" t="inlineStr">
        <is>
          <t>Ванна</t>
        </is>
      </c>
      <c r="D95" s="4" t="inlineStr">
        <is>
          <t>шт</t>
        </is>
      </c>
      <c r="E95" s="6" t="n">
        <v>1</v>
      </c>
      <c r="F95" s="6" t="n">
        <v>11050</v>
      </c>
      <c r="G95" s="7">
        <f>E95*F95</f>
        <v/>
      </c>
    </row>
    <row r="96">
      <c r="A96" s="4" t="n">
        <v>3</v>
      </c>
      <c r="B96" s="5" t="inlineStr">
        <is>
          <t>7512</t>
        </is>
      </c>
      <c r="C96" s="5" t="inlineStr">
        <is>
          <t>Унитаз/инсталляция</t>
        </is>
      </c>
      <c r="D96" s="4" t="inlineStr">
        <is>
          <t>шт</t>
        </is>
      </c>
      <c r="E96" s="6" t="n">
        <v>1</v>
      </c>
      <c r="F96" s="6" t="n">
        <v>5850</v>
      </c>
      <c r="G96" s="7">
        <f>E96*F96</f>
        <v/>
      </c>
    </row>
    <row r="97">
      <c r="A97" s="4" t="n">
        <v>4</v>
      </c>
      <c r="B97" s="5" t="inlineStr">
        <is>
          <t>7520</t>
        </is>
      </c>
      <c r="C97" s="5" t="inlineStr">
        <is>
          <t>Раковина</t>
        </is>
      </c>
      <c r="D97" s="4" t="inlineStr">
        <is>
          <t>шт</t>
        </is>
      </c>
      <c r="E97" s="6" t="n">
        <v>1</v>
      </c>
      <c r="F97" s="6" t="n">
        <v>5850</v>
      </c>
      <c r="G97" s="7">
        <f>E97*F97</f>
        <v/>
      </c>
    </row>
    <row r="98">
      <c r="A98" s="4" t="n">
        <v>5</v>
      </c>
      <c r="B98" s="5" t="inlineStr">
        <is>
          <t>7523</t>
        </is>
      </c>
      <c r="C98" s="5" t="inlineStr">
        <is>
          <t>Мойка кухонная</t>
        </is>
      </c>
      <c r="D98" s="4" t="inlineStr">
        <is>
          <t>шт</t>
        </is>
      </c>
      <c r="E98" s="6" t="n">
        <v>1</v>
      </c>
      <c r="F98" s="6" t="n">
        <v>4550</v>
      </c>
      <c r="G98" s="7">
        <f>E98*F98</f>
        <v/>
      </c>
    </row>
    <row r="99">
      <c r="A99" s="4" t="n">
        <v>6</v>
      </c>
      <c r="B99" s="5" t="inlineStr">
        <is>
          <t>7524</t>
        </is>
      </c>
      <c r="C99" s="5" t="inlineStr">
        <is>
          <t>Смеситель</t>
        </is>
      </c>
      <c r="D99" s="4" t="inlineStr">
        <is>
          <t>шт</t>
        </is>
      </c>
      <c r="E99" s="6" t="n">
        <v>1</v>
      </c>
      <c r="F99" s="6" t="n">
        <v>3705</v>
      </c>
      <c r="G99" s="7">
        <f>E99*F99</f>
        <v/>
      </c>
    </row>
    <row r="100">
      <c r="A100" s="4" t="n">
        <v>7</v>
      </c>
      <c r="B100" s="5" t="inlineStr">
        <is>
          <t>7525</t>
        </is>
      </c>
      <c r="C100" s="5" t="inlineStr">
        <is>
          <t>Смеситель с душем</t>
        </is>
      </c>
      <c r="D100" s="4" t="inlineStr">
        <is>
          <t>шт</t>
        </is>
      </c>
      <c r="E100" s="6" t="n">
        <v>1</v>
      </c>
      <c r="F100" s="6" t="n">
        <v>6305</v>
      </c>
      <c r="G100" s="7">
        <f>E100*F100</f>
        <v/>
      </c>
    </row>
    <row r="101">
      <c r="A101" s="4" t="n">
        <v>8</v>
      </c>
      <c r="B101" s="5" t="inlineStr">
        <is>
          <t>7526</t>
        </is>
      </c>
      <c r="C101" s="5" t="inlineStr">
        <is>
          <t>Сифон</t>
        </is>
      </c>
      <c r="D101" s="4" t="inlineStr">
        <is>
          <t>шт</t>
        </is>
      </c>
      <c r="E101" s="6" t="n">
        <v>2</v>
      </c>
      <c r="F101" s="6" t="n">
        <v>2275</v>
      </c>
      <c r="G101" s="7">
        <f>E101*F101</f>
        <v/>
      </c>
    </row>
    <row r="102">
      <c r="A102" s="4" t="n">
        <v>9</v>
      </c>
      <c r="B102" s="5" t="inlineStr">
        <is>
          <t>7529</t>
        </is>
      </c>
      <c r="C102" s="5" t="inlineStr">
        <is>
          <t>Тёплый пол водяной</t>
        </is>
      </c>
      <c r="D102" s="4" t="inlineStr">
        <is>
          <t>м²</t>
        </is>
      </c>
      <c r="E102" s="6" t="n">
        <v>5</v>
      </c>
      <c r="F102" s="6" t="n">
        <v>1755</v>
      </c>
      <c r="G102" s="7">
        <f>E102*F102</f>
        <v/>
      </c>
    </row>
    <row r="103">
      <c r="A103" s="8" t="inlineStr">
        <is>
          <t>ИТОГО (7500)</t>
        </is>
      </c>
      <c r="B103" s="9" t="n"/>
      <c r="C103" s="9" t="n"/>
      <c r="D103" s="9" t="n"/>
      <c r="E103" s="9" t="n"/>
      <c r="F103" s="9" t="n"/>
      <c r="G103" s="10">
        <f>SUM(G94:G102)</f>
        <v/>
      </c>
    </row>
    <row r="105">
      <c r="A105" s="11" t="inlineStr">
        <is>
          <t>ВСЕГО РАБОТЫ (без скидки)</t>
        </is>
      </c>
      <c r="B105" s="12" t="n"/>
      <c r="C105" s="12" t="n"/>
      <c r="D105" s="12" t="n"/>
      <c r="E105" s="12" t="n"/>
      <c r="F105" s="12" t="n"/>
      <c r="G105" s="13">
        <f>G11+G18+G26+G39+G50+G64+G74+G80+G92+G103</f>
        <v/>
      </c>
    </row>
    <row r="106">
      <c r="A106" s="14" t="inlineStr">
        <is>
          <t>Скидка 10%</t>
        </is>
      </c>
      <c r="B106" s="15" t="n"/>
      <c r="C106" s="15" t="n"/>
      <c r="D106" s="15" t="n"/>
      <c r="E106" s="15" t="n"/>
      <c r="F106" s="15" t="n"/>
      <c r="G106" s="16">
        <f>-G105*0.1</f>
        <v/>
      </c>
    </row>
    <row r="107">
      <c r="A107" s="17" t="inlineStr">
        <is>
          <t>ИТОГО К ОПЛАТЕ (со скидкой 10%)</t>
        </is>
      </c>
      <c r="B107" s="18" t="n"/>
      <c r="C107" s="18" t="n"/>
      <c r="D107" s="18" t="n"/>
      <c r="E107" s="18" t="n"/>
      <c r="F107" s="18" t="n"/>
      <c r="G107" s="19">
        <f>G105+G106</f>
        <v/>
      </c>
    </row>
    <row r="109">
      <c r="A109" s="20" t="inlineStr">
        <is>
          <t>Примечания:</t>
        </is>
      </c>
    </row>
    <row r="110">
      <c r="A110" s="21" t="inlineStr">
        <is>
          <t>• Все цены — работа без материалов (прайс ОСНОВА 606 + доп. позиции)</t>
        </is>
      </c>
    </row>
    <row r="111">
      <c r="A111" s="21" t="inlineStr">
        <is>
          <t>• ЖК Mypriority Dubrovka, Новоостаповская 16к1, 1-к квартира ~40 м²</t>
        </is>
      </c>
    </row>
    <row r="112">
      <c r="A112" s="21" t="inlineStr">
        <is>
          <t>• Демонтаж не требуется (новостройка, монолит)</t>
        </is>
      </c>
    </row>
    <row r="113">
      <c r="A113" s="21" t="inlineStr">
        <is>
          <t>• Отопление: 4 линк-конвектора + коллектор на 4 контура</t>
        </is>
      </c>
    </row>
    <row r="114">
      <c r="A114" s="21" t="inlineStr">
        <is>
          <t>• Кварцвинил — укладка с подготовкой (стяжка + самовыравнивание)</t>
        </is>
      </c>
    </row>
    <row r="115">
      <c r="A115" s="21" t="inlineStr">
        <is>
          <t>• Декоративная штукатурка «картомерок» во всех помещениях</t>
        </is>
      </c>
    </row>
    <row r="116">
      <c r="A116" s="21" t="inlineStr">
        <is>
          <t>• Трековое освещение + ГКЛ-конструкции потолка</t>
        </is>
      </c>
    </row>
    <row r="117">
      <c r="A117" s="21" t="inlineStr">
        <is>
          <t>• Электрошторы (4 шт) + скрытые карнизы</t>
        </is>
      </c>
    </row>
    <row r="118">
      <c r="A118" s="21" t="inlineStr">
        <is>
          <t>• Срок: ~50 рабочих дней. Гарантия: 2 года</t>
        </is>
      </c>
    </row>
  </sheetData>
  <mergeCells count="23">
    <mergeCell ref="A106:D106"/>
    <mergeCell ref="A80:F80"/>
    <mergeCell ref="A74:F74"/>
    <mergeCell ref="A18:F18"/>
    <mergeCell ref="A50:F50"/>
    <mergeCell ref="A81:G81"/>
    <mergeCell ref="A26:F26"/>
    <mergeCell ref="A19:G19"/>
    <mergeCell ref="A93:G93"/>
    <mergeCell ref="A40:G40"/>
    <mergeCell ref="A107:D107"/>
    <mergeCell ref="A51:G51"/>
    <mergeCell ref="A65:G65"/>
    <mergeCell ref="A92:F92"/>
    <mergeCell ref="A39:F39"/>
    <mergeCell ref="A64:F64"/>
    <mergeCell ref="A75:G75"/>
    <mergeCell ref="A11:F11"/>
    <mergeCell ref="A27:G27"/>
    <mergeCell ref="A105:D105"/>
    <mergeCell ref="A3:G3"/>
    <mergeCell ref="A103:F103"/>
    <mergeCell ref="A12:G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2026-05-29T17:23:48Z</dcterms:created>
  <dcterms:modified xsi:type="dcterms:W3CDTF">2026-05-29T17:23:48Z</dcterms:modified>
</cp:coreProperties>
</file>